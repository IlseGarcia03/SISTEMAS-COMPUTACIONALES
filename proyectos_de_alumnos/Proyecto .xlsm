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bookViews>
    <workbookView xWindow="-120" yWindow="-120" windowWidth="29040" windowHeight="15840" activeTab="4"/>
  </bookViews>
  <sheets>
    <sheet name="Mesas del Restaurantes" sheetId="5" r:id="rId1"/>
    <sheet name="Mesa 1" sheetId="1" r:id="rId2"/>
    <sheet name="Mesa 2" sheetId="2" r:id="rId3"/>
    <sheet name="Mesa 3 " sheetId="3" r:id="rId4"/>
    <sheet name="Mesa 4" sheetId="4" r:id="rId5"/>
    <sheet name="Base de datos" sheetId="6" r:id="rId6"/>
  </sheets>
  <definedNames>
    <definedName name="_xlnm.Print_Area" localSheetId="1">'Mesa 1'!$A$1:$E$29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3" l="1"/>
  <c r="D6" i="4"/>
  <c r="D6" i="1"/>
  <c r="D6" i="2"/>
  <c r="B21" i="4" l="1"/>
  <c r="B22" i="4"/>
  <c r="D22" i="4" s="1"/>
  <c r="B23" i="4"/>
  <c r="D23" i="4" s="1"/>
  <c r="B24" i="4"/>
  <c r="D24" i="4" s="1"/>
  <c r="B25" i="4"/>
  <c r="B26" i="4"/>
  <c r="B27" i="4"/>
  <c r="B28" i="4"/>
  <c r="D28" i="4" s="1"/>
  <c r="D21" i="4"/>
  <c r="D25" i="4"/>
  <c r="D26" i="4"/>
  <c r="D27" i="4"/>
  <c r="B21" i="2"/>
  <c r="D21" i="2" s="1"/>
  <c r="B22" i="2"/>
  <c r="D22" i="2" s="1"/>
  <c r="B23" i="2"/>
  <c r="D23" i="2" s="1"/>
  <c r="B24" i="2"/>
  <c r="B25" i="2"/>
  <c r="B26" i="2"/>
  <c r="B27" i="2"/>
  <c r="B28" i="2"/>
  <c r="D28" i="2" s="1"/>
  <c r="D24" i="2"/>
  <c r="D25" i="2"/>
  <c r="D26" i="2"/>
  <c r="D27" i="2"/>
  <c r="B21" i="3"/>
  <c r="B22" i="3"/>
  <c r="D22" i="3" s="1"/>
  <c r="B23" i="3"/>
  <c r="D23" i="3" s="1"/>
  <c r="B24" i="3"/>
  <c r="D24" i="3" s="1"/>
  <c r="B25" i="3"/>
  <c r="B26" i="3"/>
  <c r="B27" i="3"/>
  <c r="D27" i="3" s="1"/>
  <c r="B28" i="3"/>
  <c r="D28" i="3" s="1"/>
  <c r="D21" i="3"/>
  <c r="D25" i="3"/>
  <c r="D26" i="3"/>
  <c r="B21" i="1"/>
  <c r="D21" i="1" s="1"/>
  <c r="B22" i="1"/>
  <c r="D22" i="1" s="1"/>
  <c r="B23" i="1"/>
  <c r="D23" i="1" s="1"/>
  <c r="B24" i="1"/>
  <c r="D24" i="1" s="1"/>
  <c r="B25" i="1"/>
  <c r="B26" i="1"/>
  <c r="B27" i="1"/>
  <c r="B28" i="1"/>
  <c r="D28" i="1" s="1"/>
  <c r="D25" i="1"/>
  <c r="D26" i="1"/>
  <c r="D27" i="1"/>
  <c r="B20" i="4"/>
  <c r="D20" i="4" s="1"/>
  <c r="B19" i="4"/>
  <c r="D19" i="4" s="1"/>
  <c r="B18" i="4"/>
  <c r="D18" i="4" s="1"/>
  <c r="B17" i="4"/>
  <c r="D17" i="4" s="1"/>
  <c r="B16" i="4"/>
  <c r="D16" i="4" s="1"/>
  <c r="B15" i="4"/>
  <c r="D15" i="4" s="1"/>
  <c r="B14" i="4"/>
  <c r="D14" i="4" s="1"/>
  <c r="B13" i="4"/>
  <c r="D13" i="4" s="1"/>
  <c r="B12" i="4"/>
  <c r="D12" i="4" s="1"/>
  <c r="B11" i="4"/>
  <c r="D11" i="4" s="1"/>
  <c r="B10" i="4"/>
  <c r="D10" i="4" s="1"/>
  <c r="B10" i="3"/>
  <c r="D10" i="3" s="1"/>
  <c r="B20" i="3"/>
  <c r="D20" i="3" s="1"/>
  <c r="B19" i="3"/>
  <c r="D19" i="3" s="1"/>
  <c r="B18" i="3"/>
  <c r="D18" i="3" s="1"/>
  <c r="B17" i="3"/>
  <c r="D17" i="3" s="1"/>
  <c r="B16" i="3"/>
  <c r="D16" i="3" s="1"/>
  <c r="B15" i="3"/>
  <c r="D15" i="3" s="1"/>
  <c r="B14" i="3"/>
  <c r="D14" i="3" s="1"/>
  <c r="B13" i="3"/>
  <c r="D13" i="3" s="1"/>
  <c r="B12" i="3"/>
  <c r="D12" i="3" s="1"/>
  <c r="B11" i="3"/>
  <c r="D11" i="3" s="1"/>
  <c r="B20" i="2"/>
  <c r="D20" i="2" s="1"/>
  <c r="B19" i="2"/>
  <c r="D19" i="2" s="1"/>
  <c r="B18" i="2"/>
  <c r="D18" i="2" s="1"/>
  <c r="B17" i="2"/>
  <c r="D17" i="2" s="1"/>
  <c r="B16" i="2"/>
  <c r="D16" i="2" s="1"/>
  <c r="B15" i="2"/>
  <c r="D15" i="2" s="1"/>
  <c r="B14" i="2"/>
  <c r="D14" i="2" s="1"/>
  <c r="B13" i="2"/>
  <c r="D13" i="2" s="1"/>
  <c r="B12" i="2"/>
  <c r="D12" i="2" s="1"/>
  <c r="B11" i="2"/>
  <c r="D11" i="2" s="1"/>
  <c r="B10" i="2"/>
  <c r="D10" i="2" s="1"/>
  <c r="B20" i="1"/>
  <c r="D20" i="1" s="1"/>
  <c r="B13" i="1"/>
  <c r="D13" i="1" s="1"/>
  <c r="B14" i="1"/>
  <c r="D14" i="1" s="1"/>
  <c r="B15" i="1"/>
  <c r="D15" i="1" s="1"/>
  <c r="B16" i="1"/>
  <c r="D16" i="1" s="1"/>
  <c r="B17" i="1"/>
  <c r="B18" i="1"/>
  <c r="D18" i="1" s="1"/>
  <c r="B19" i="1"/>
  <c r="D17" i="1"/>
  <c r="D19" i="1"/>
  <c r="D29" i="4" l="1"/>
  <c r="D29" i="2"/>
  <c r="D29" i="3"/>
  <c r="B10" i="1" l="1"/>
  <c r="D10" i="1" s="1"/>
  <c r="B11" i="1"/>
  <c r="D11" i="1" s="1"/>
  <c r="B12" i="1"/>
  <c r="D12" i="1" s="1"/>
  <c r="D29" i="1" l="1"/>
</calcChain>
</file>

<file path=xl/sharedStrings.xml><?xml version="1.0" encoding="utf-8"?>
<sst xmlns="http://schemas.openxmlformats.org/spreadsheetml/2006/main" count="72" uniqueCount="32">
  <si>
    <t>Mesa 1</t>
  </si>
  <si>
    <t>Mesa</t>
  </si>
  <si>
    <t>Mesa 2</t>
  </si>
  <si>
    <t>Mesa 4</t>
  </si>
  <si>
    <t>Mesa 3</t>
  </si>
  <si>
    <t>Fecha:</t>
  </si>
  <si>
    <t>Meseros:</t>
  </si>
  <si>
    <t>Marcos</t>
  </si>
  <si>
    <t>Kevin</t>
  </si>
  <si>
    <t>MESEROS</t>
  </si>
  <si>
    <t>Juan</t>
  </si>
  <si>
    <t xml:space="preserve">Dylan </t>
  </si>
  <si>
    <t xml:space="preserve">David </t>
  </si>
  <si>
    <t>Menú del Restaurante</t>
  </si>
  <si>
    <t xml:space="preserve">Parillada tradidional </t>
  </si>
  <si>
    <t>Precio de comida</t>
  </si>
  <si>
    <t>Mole tradicional mexicano</t>
  </si>
  <si>
    <t>Tacos (bistek, Pastor, Tripa o Lengua)</t>
  </si>
  <si>
    <t xml:space="preserve">Gorditas </t>
  </si>
  <si>
    <t>Entomatadas (con o sin cecina)</t>
  </si>
  <si>
    <t>Chocoflan</t>
  </si>
  <si>
    <t>Coca-cola 600ml</t>
  </si>
  <si>
    <t>Agua natural 1lt</t>
  </si>
  <si>
    <t>Aguas de sabores 250 ml</t>
  </si>
  <si>
    <t>Refrescos de sabores 600ml</t>
  </si>
  <si>
    <t>Hamburguesas</t>
  </si>
  <si>
    <t>Menú</t>
  </si>
  <si>
    <t>Precio</t>
  </si>
  <si>
    <t>Cantidad</t>
  </si>
  <si>
    <t>Subtotal</t>
  </si>
  <si>
    <t>Total:</t>
  </si>
  <si>
    <t>Gelatinas de diferentes sabores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</si>
</sst>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164" fontId="0" fillId="0" borderId="0" xfId="0" applyNumberFormat="1"/>
    <xf numFmtId="44" fontId="0" fillId="0" borderId="0" xfId="0" applyNumberFormat="1"/>
    <xf numFmtId="0" fontId="4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3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44" fontId="0" fillId="0" borderId="0" xfId="0" applyNumberFormat="1" applyAlignment="1">
      <alignment vertical="center"/>
    </xf>
  </cellXfs>
  <cellStyles count="1">
    <cellStyle name="Normal" xfId="0" builtinId="0"/>
  </cellStyles>
  <dxfs count="15">
    <dxf>
      <alignment vertical="center" textRotation="0" wrapText="0" indent="0" justifyLastLine="0" shrinkToFit="0" readingOrder="0"/>
    </dxf>
    <dxf>
      <numFmt numFmtId="34" formatCode="_-&quot;$&quot;* #,##0.00_-;\-&quot;$&quot;* #,##0.00_-;_-&quot;$&quot;* &quot;-&quot;??_-;_-@_-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64" formatCode="&quot;$&quot;#,##0.00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$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'Mesa 2'!A1"/><Relationship Id="rId7" Type="http://schemas.openxmlformats.org/officeDocument/2006/relationships/hyperlink" Target="#'Mesa 4'!A1"/><Relationship Id="rId2" Type="http://schemas.openxmlformats.org/officeDocument/2006/relationships/image" Target="../media/image1.png"/><Relationship Id="rId1" Type="http://schemas.openxmlformats.org/officeDocument/2006/relationships/hyperlink" Target="#'Mesa 1'!A1"/><Relationship Id="rId6" Type="http://schemas.openxmlformats.org/officeDocument/2006/relationships/image" Target="../media/image3.png"/><Relationship Id="rId5" Type="http://schemas.openxmlformats.org/officeDocument/2006/relationships/hyperlink" Target="#'Mesa 3 '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6</xdr:col>
      <xdr:colOff>91712</xdr:colOff>
      <xdr:row>18</xdr:row>
      <xdr:rowOff>10884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8F979D0A-F385-C6B2-E77D-A1081719C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0" y="952500"/>
          <a:ext cx="3139712" cy="2487384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</xdr:colOff>
      <xdr:row>5</xdr:row>
      <xdr:rowOff>9525</xdr:rowOff>
    </xdr:from>
    <xdr:to>
      <xdr:col>11</xdr:col>
      <xdr:colOff>190017</xdr:colOff>
      <xdr:row>17</xdr:row>
      <xdr:rowOff>168233</xdr:rowOff>
    </xdr:to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72AB7F6F-F2B7-4E2A-D86C-4C119050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53050" y="962025"/>
          <a:ext cx="3218967" cy="2444708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20</xdr:row>
      <xdr:rowOff>9525</xdr:rowOff>
    </xdr:from>
    <xdr:to>
      <xdr:col>6</xdr:col>
      <xdr:colOff>180492</xdr:colOff>
      <xdr:row>32</xdr:row>
      <xdr:rowOff>162136</xdr:rowOff>
    </xdr:to>
    <xdr:pic>
      <xdr:nvPicPr>
        <xdr:cNvPr id="5" name="Imagen 4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470A4EF3-3521-EBC3-208F-22258E1E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33525" y="3819525"/>
          <a:ext cx="3218967" cy="2438611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</xdr:colOff>
      <xdr:row>19</xdr:row>
      <xdr:rowOff>161925</xdr:rowOff>
    </xdr:from>
    <xdr:to>
      <xdr:col>11</xdr:col>
      <xdr:colOff>190017</xdr:colOff>
      <xdr:row>32</xdr:row>
      <xdr:rowOff>148422</xdr:rowOff>
    </xdr:to>
    <xdr:pic>
      <xdr:nvPicPr>
        <xdr:cNvPr id="7" name="Imagen 6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13ED9717-E78A-9A49-6767-7081B054A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53050" y="3781425"/>
          <a:ext cx="3218967" cy="24629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188285</xdr:colOff>
      <xdr:row>0</xdr:row>
      <xdr:rowOff>44303</xdr:rowOff>
    </xdr:from>
    <xdr:to>
      <xdr:col>0</xdr:col>
      <xdr:colOff>703299</xdr:colOff>
      <xdr:row>2</xdr:row>
      <xdr:rowOff>165879</xdr:rowOff>
    </xdr:to>
    <xdr:pic>
      <xdr:nvPicPr>
        <xdr:cNvPr id="3" name="Imagen 2" descr="Logo Restaurante - Vectores y PSD gratuitos para descargar">
          <a:extLst>
            <a:ext uri="{FF2B5EF4-FFF2-40B4-BE49-F238E27FC236}">
              <a16:creationId xmlns="" xmlns:a16="http://schemas.microsoft.com/office/drawing/2014/main" id="{7BFBDC0F-1379-A52E-F455-575FAAF23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285" y="44303"/>
          <a:ext cx="515014" cy="498146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8</xdr:col>
      <xdr:colOff>222762</xdr:colOff>
      <xdr:row>15</xdr:row>
      <xdr:rowOff>99859</xdr:rowOff>
    </xdr:from>
    <xdr:ext cx="184731" cy="264560"/>
    <xdr:sp macro="" textlink="">
      <xdr:nvSpPr>
        <xdr:cNvPr id="5" name="CuadroTexto 4">
          <a:extLst>
            <a:ext uri="{FF2B5EF4-FFF2-40B4-BE49-F238E27FC236}">
              <a16:creationId xmlns="" xmlns:a16="http://schemas.microsoft.com/office/drawing/2014/main" id="{C175FB5F-AEC8-A1CF-B2D3-C1A03E6FEC47}"/>
            </a:ext>
          </a:extLst>
        </xdr:cNvPr>
        <xdr:cNvSpPr txBox="1"/>
      </xdr:nvSpPr>
      <xdr:spPr>
        <a:xfrm>
          <a:off x="7681452" y="2980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501109</xdr:colOff>
          <xdr:row>7</xdr:row>
          <xdr:rowOff>128935</xdr:rowOff>
        </xdr:from>
        <xdr:to>
          <xdr:col>8</xdr:col>
          <xdr:colOff>43909</xdr:colOff>
          <xdr:row>11</xdr:row>
          <xdr:rowOff>81311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ticket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188285</xdr:colOff>
      <xdr:row>0</xdr:row>
      <xdr:rowOff>44303</xdr:rowOff>
    </xdr:from>
    <xdr:to>
      <xdr:col>0</xdr:col>
      <xdr:colOff>703299</xdr:colOff>
      <xdr:row>2</xdr:row>
      <xdr:rowOff>165879</xdr:rowOff>
    </xdr:to>
    <xdr:pic>
      <xdr:nvPicPr>
        <xdr:cNvPr id="4" name="Imagen 3" descr="Logo Restaurante - Vectores y PSD gratuitos para descargar">
          <a:extLst>
            <a:ext uri="{FF2B5EF4-FFF2-40B4-BE49-F238E27FC236}">
              <a16:creationId xmlns="" xmlns:a16="http://schemas.microsoft.com/office/drawing/2014/main" id="{C74CBA83-93C6-45AB-818A-260C4D579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285" y="44303"/>
          <a:ext cx="515014" cy="502576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661407</xdr:colOff>
          <xdr:row>6</xdr:row>
          <xdr:rowOff>123593</xdr:rowOff>
        </xdr:from>
        <xdr:to>
          <xdr:col>8</xdr:col>
          <xdr:colOff>209086</xdr:colOff>
          <xdr:row>10</xdr:row>
          <xdr:rowOff>23464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Ticket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188285</xdr:colOff>
      <xdr:row>0</xdr:row>
      <xdr:rowOff>44303</xdr:rowOff>
    </xdr:from>
    <xdr:to>
      <xdr:col>0</xdr:col>
      <xdr:colOff>703299</xdr:colOff>
      <xdr:row>2</xdr:row>
      <xdr:rowOff>165879</xdr:rowOff>
    </xdr:to>
    <xdr:pic>
      <xdr:nvPicPr>
        <xdr:cNvPr id="2" name="Imagen 1" descr="Logo Restaurante - Vectores y PSD gratuitos para descargar">
          <a:extLst>
            <a:ext uri="{FF2B5EF4-FFF2-40B4-BE49-F238E27FC236}">
              <a16:creationId xmlns="" xmlns:a16="http://schemas.microsoft.com/office/drawing/2014/main" id="{4F3CAF54-4855-4823-8EF0-B36E359A4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285" y="44303"/>
          <a:ext cx="515014" cy="502576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453018</xdr:colOff>
          <xdr:row>9</xdr:row>
          <xdr:rowOff>66907</xdr:rowOff>
        </xdr:from>
        <xdr:to>
          <xdr:col>8</xdr:col>
          <xdr:colOff>95947</xdr:colOff>
          <xdr:row>12</xdr:row>
          <xdr:rowOff>57382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Ticket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188285</xdr:colOff>
      <xdr:row>0</xdr:row>
      <xdr:rowOff>44303</xdr:rowOff>
    </xdr:from>
    <xdr:to>
      <xdr:col>0</xdr:col>
      <xdr:colOff>703299</xdr:colOff>
      <xdr:row>2</xdr:row>
      <xdr:rowOff>165879</xdr:rowOff>
    </xdr:to>
    <xdr:pic>
      <xdr:nvPicPr>
        <xdr:cNvPr id="2" name="Imagen 1" descr="Logo Restaurante - Vectores y PSD gratuitos para descargar">
          <a:extLst>
            <a:ext uri="{FF2B5EF4-FFF2-40B4-BE49-F238E27FC236}">
              <a16:creationId xmlns="" xmlns:a16="http://schemas.microsoft.com/office/drawing/2014/main" id="{4FBFC59C-2836-4AE1-BC40-3C19219430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285" y="44303"/>
          <a:ext cx="515014" cy="502576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10</xdr:row>
          <xdr:rowOff>41030</xdr:rowOff>
        </xdr:from>
        <xdr:to>
          <xdr:col>7</xdr:col>
          <xdr:colOff>742950</xdr:colOff>
          <xdr:row>13</xdr:row>
          <xdr:rowOff>21980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Ticket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Menu." displayName="Menu." ref="A9:D28" totalsRowShown="0" dataDxfId="0">
  <autoFilter ref="A9:D28"/>
  <tableColumns count="4">
    <tableColumn id="1" name="Menú" dataDxfId="4"/>
    <tableColumn id="2" name="Precio" dataDxfId="3">
      <calculatedColumnFormula>IF(ISBLANK(A10),"",VLOOKUP((A10),Menu[[Menú del Restaurante]:[Precio de comida]],2,FALSE))</calculatedColumnFormula>
    </tableColumn>
    <tableColumn id="3" name="Cantidad" dataDxfId="2"/>
    <tableColumn id="4" name="Subtotal" dataDxfId="1">
      <calculatedColumnFormula>PRODUCT(B10:C10)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9" name="Menu.10" displayName="Menu.10" ref="A9:D28" totalsRowShown="0">
  <autoFilter ref="A9:D28"/>
  <tableColumns count="4">
    <tableColumn id="1" name="Menú"/>
    <tableColumn id="2" name="Precio" dataDxfId="11">
      <calculatedColumnFormula>IF(ISBLANK(A10),"",VLOOKUP((A10),Menu[[Menú del Restaurante]:[Precio de comida]],2,FALSE))</calculatedColumnFormula>
    </tableColumn>
    <tableColumn id="3" name="Cantidad"/>
    <tableColumn id="4" name="Subtotal" dataDxfId="14">
      <calculatedColumnFormula>PRODUCT(B10:C10)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1" name="Menu.1012" displayName="Menu.1012" ref="A9:D28" totalsRowShown="0">
  <autoFilter ref="A9:D28"/>
  <tableColumns count="4">
    <tableColumn id="1" name="Menú"/>
    <tableColumn id="2" name="Precio" dataDxfId="10">
      <calculatedColumnFormula>IF(ISBLANK(A10),"",VLOOKUP((A10),Menu[[Menú del Restaurante]:[Precio de comida]],2,FALSE))</calculatedColumnFormula>
    </tableColumn>
    <tableColumn id="3" name="Cantidad"/>
    <tableColumn id="4" name="Subtotal" dataDxfId="13">
      <calculatedColumnFormula>PRODUCT(B10:C10)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Menu.101213" displayName="Menu.101213" ref="A9:D28" totalsRowShown="0" dataDxfId="5">
  <autoFilter ref="A9:D28"/>
  <tableColumns count="4">
    <tableColumn id="1" name="Menú" dataDxfId="9"/>
    <tableColumn id="2" name="Precio" dataDxfId="8">
      <calculatedColumnFormula>IF(ISBLANK(A10),"",VLOOKUP((A10),Menu[[Menú del Restaurante]:[Precio de comida]],2,FALSE))</calculatedColumnFormula>
    </tableColumn>
    <tableColumn id="3" name="Cantidad" dataDxfId="7"/>
    <tableColumn id="4" name="Subtotal" dataDxfId="6">
      <calculatedColumnFormula>PRODUCT(B10:C10)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1" name="Tabla1" displayName="Tabla1" ref="B4:B9" totalsRowShown="0">
  <autoFilter ref="B4:B9"/>
  <tableColumns count="1">
    <tableColumn id="1" name="MESERO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Menu" displayName="Menu" ref="E4:F16" totalsRowShown="0">
  <autoFilter ref="E4:F16"/>
  <tableColumns count="2">
    <tableColumn id="1" name="Menú del Restaurante"/>
    <tableColumn id="2" name="Precio de comida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37" sqref="I37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9"/>
  <sheetViews>
    <sheetView view="pageBreakPreview" zoomScale="82" zoomScaleNormal="98" zoomScaleSheetLayoutView="82" workbookViewId="0">
      <selection activeCell="A10" sqref="A10:D28"/>
    </sheetView>
  </sheetViews>
  <sheetFormatPr baseColWidth="10" defaultRowHeight="15" x14ac:dyDescent="0.25"/>
  <cols>
    <col min="1" max="1" width="37.5703125" customWidth="1"/>
    <col min="4" max="4" width="11.42578125" customWidth="1"/>
    <col min="5" max="5" width="15.140625" hidden="1" customWidth="1"/>
  </cols>
  <sheetData>
    <row r="1" spans="1:5" x14ac:dyDescent="0.25">
      <c r="A1" s="7" t="s">
        <v>0</v>
      </c>
      <c r="B1" s="8"/>
      <c r="C1" s="8"/>
      <c r="D1" s="8"/>
      <c r="E1" s="8"/>
    </row>
    <row r="2" spans="1:5" x14ac:dyDescent="0.25">
      <c r="A2" s="8"/>
      <c r="B2" s="8"/>
      <c r="C2" s="8"/>
      <c r="D2" s="8"/>
      <c r="E2" s="8"/>
    </row>
    <row r="3" spans="1:5" x14ac:dyDescent="0.25">
      <c r="A3" s="8"/>
      <c r="B3" s="8"/>
      <c r="C3" s="8"/>
      <c r="D3" s="8"/>
      <c r="E3" s="8"/>
    </row>
    <row r="4" spans="1:5" x14ac:dyDescent="0.25">
      <c r="A4" s="9"/>
      <c r="B4" s="9"/>
      <c r="C4" s="9"/>
      <c r="D4" s="9"/>
      <c r="E4" s="9"/>
    </row>
    <row r="6" spans="1:5" x14ac:dyDescent="0.25">
      <c r="A6" s="1" t="s">
        <v>1</v>
      </c>
      <c r="B6">
        <v>1</v>
      </c>
      <c r="C6" t="s">
        <v>5</v>
      </c>
      <c r="D6" s="2">
        <f ca="1">TODAY()</f>
        <v>45346</v>
      </c>
      <c r="E6" s="2"/>
    </row>
    <row r="7" spans="1:5" x14ac:dyDescent="0.25">
      <c r="A7" s="1" t="s">
        <v>6</v>
      </c>
      <c r="B7" s="10" t="s">
        <v>7</v>
      </c>
      <c r="C7" s="10"/>
      <c r="D7" s="10"/>
      <c r="E7" s="10"/>
    </row>
    <row r="9" spans="1:5" x14ac:dyDescent="0.25">
      <c r="A9" t="s">
        <v>26</v>
      </c>
      <c r="B9" t="s">
        <v>27</v>
      </c>
      <c r="C9" t="s">
        <v>28</v>
      </c>
      <c r="D9" t="s">
        <v>29</v>
      </c>
    </row>
    <row r="10" spans="1:5" x14ac:dyDescent="0.25">
      <c r="A10" s="11" t="s">
        <v>17</v>
      </c>
      <c r="B10" s="12">
        <f>IF(ISBLANK(A10),"",VLOOKUP((A10),Menu[[Menú del Restaurante]:[Precio de comida]],2,FALSE))</f>
        <v>11</v>
      </c>
      <c r="C10" s="11">
        <v>6</v>
      </c>
      <c r="D10" s="13">
        <f t="shared" ref="D10:D28" si="0">PRODUCT(B10:C10)</f>
        <v>66</v>
      </c>
    </row>
    <row r="11" spans="1:5" x14ac:dyDescent="0.25">
      <c r="A11" s="11" t="s">
        <v>18</v>
      </c>
      <c r="B11" s="12">
        <f>IF(ISBLANK(A11),"",VLOOKUP((A11),Menu[[Menú del Restaurante]:[Precio de comida]],2,FALSE))</f>
        <v>12</v>
      </c>
      <c r="C11" s="11">
        <v>5</v>
      </c>
      <c r="D11" s="13">
        <f t="shared" si="0"/>
        <v>60</v>
      </c>
    </row>
    <row r="12" spans="1:5" x14ac:dyDescent="0.25">
      <c r="A12" s="11" t="s">
        <v>21</v>
      </c>
      <c r="B12" s="12">
        <f>IF(ISBLANK(A12),"",VLOOKUP((A12),Menu[[Menú del Restaurante]:[Precio de comida]],2,FALSE))</f>
        <v>25</v>
      </c>
      <c r="C12" s="11">
        <v>2</v>
      </c>
      <c r="D12" s="13">
        <f t="shared" si="0"/>
        <v>50</v>
      </c>
    </row>
    <row r="13" spans="1:5" x14ac:dyDescent="0.25">
      <c r="A13" s="15"/>
      <c r="B13" s="16" t="str">
        <f>IF(ISBLANK(A13),"",VLOOKUP((A13),Menu[[Menú del Restaurante]:[Precio de comida]],2,FALSE))</f>
        <v/>
      </c>
      <c r="C13" s="15"/>
      <c r="D13" s="17">
        <f t="shared" si="0"/>
        <v>0</v>
      </c>
    </row>
    <row r="14" spans="1:5" x14ac:dyDescent="0.25">
      <c r="A14" s="15"/>
      <c r="B14" s="16" t="str">
        <f>IF(ISBLANK(A14),"",VLOOKUP((A14),Menu[[Menú del Restaurante]:[Precio de comida]],2,FALSE))</f>
        <v/>
      </c>
      <c r="C14" s="15"/>
      <c r="D14" s="17">
        <f t="shared" si="0"/>
        <v>0</v>
      </c>
    </row>
    <row r="15" spans="1:5" x14ac:dyDescent="0.25">
      <c r="A15" s="15"/>
      <c r="B15" s="16" t="str">
        <f>IF(ISBLANK(A15),"",VLOOKUP((A15),Menu[[Menú del Restaurante]:[Precio de comida]],2,FALSE))</f>
        <v/>
      </c>
      <c r="C15" s="15"/>
      <c r="D15" s="17">
        <f t="shared" si="0"/>
        <v>0</v>
      </c>
    </row>
    <row r="16" spans="1:5" x14ac:dyDescent="0.25">
      <c r="A16" s="15"/>
      <c r="B16" s="16" t="str">
        <f>IF(ISBLANK(A16),"",VLOOKUP((A16),Menu[[Menú del Restaurante]:[Precio de comida]],2,FALSE))</f>
        <v/>
      </c>
      <c r="C16" s="15"/>
      <c r="D16" s="17">
        <f t="shared" si="0"/>
        <v>0</v>
      </c>
    </row>
    <row r="17" spans="1:4" x14ac:dyDescent="0.25">
      <c r="A17" s="15"/>
      <c r="B17" s="16" t="str">
        <f>IF(ISBLANK(A17),"",VLOOKUP((A17),Menu[[Menú del Restaurante]:[Precio de comida]],2,FALSE))</f>
        <v/>
      </c>
      <c r="C17" s="15"/>
      <c r="D17" s="17">
        <f t="shared" si="0"/>
        <v>0</v>
      </c>
    </row>
    <row r="18" spans="1:4" x14ac:dyDescent="0.25">
      <c r="A18" s="15"/>
      <c r="B18" s="16" t="str">
        <f>IF(ISBLANK(A18),"",VLOOKUP((A18),Menu[[Menú del Restaurante]:[Precio de comida]],2,FALSE))</f>
        <v/>
      </c>
      <c r="C18" s="15"/>
      <c r="D18" s="17">
        <f t="shared" si="0"/>
        <v>0</v>
      </c>
    </row>
    <row r="19" spans="1:4" x14ac:dyDescent="0.25">
      <c r="A19" s="15"/>
      <c r="B19" s="16" t="str">
        <f>IF(ISBLANK(A19),"",VLOOKUP((A19),Menu[[Menú del Restaurante]:[Precio de comida]],2,FALSE))</f>
        <v/>
      </c>
      <c r="C19" s="15"/>
      <c r="D19" s="17">
        <f t="shared" si="0"/>
        <v>0</v>
      </c>
    </row>
    <row r="20" spans="1:4" x14ac:dyDescent="0.25">
      <c r="A20" s="15"/>
      <c r="B20" s="16" t="str">
        <f>IF(ISBLANK(A20),"",VLOOKUP((A20),Menu[[Menú del Restaurante]:[Precio de comida]],2,FALSE))</f>
        <v/>
      </c>
      <c r="C20" s="15"/>
      <c r="D20" s="17">
        <f t="shared" si="0"/>
        <v>0</v>
      </c>
    </row>
    <row r="21" spans="1:4" x14ac:dyDescent="0.25">
      <c r="A21" s="15"/>
      <c r="B21" s="16" t="str">
        <f>IF(ISBLANK(A21),"",VLOOKUP((A21),Menu[[Menú del Restaurante]:[Precio de comida]],2,FALSE))</f>
        <v/>
      </c>
      <c r="C21" s="15"/>
      <c r="D21" s="17">
        <f t="shared" si="0"/>
        <v>0</v>
      </c>
    </row>
    <row r="22" spans="1:4" x14ac:dyDescent="0.25">
      <c r="A22" s="15"/>
      <c r="B22" s="16" t="str">
        <f>IF(ISBLANK(A22),"",VLOOKUP((A22),Menu[[Menú del Restaurante]:[Precio de comida]],2,FALSE))</f>
        <v/>
      </c>
      <c r="C22" s="15"/>
      <c r="D22" s="17">
        <f t="shared" si="0"/>
        <v>0</v>
      </c>
    </row>
    <row r="23" spans="1:4" x14ac:dyDescent="0.25">
      <c r="A23" s="15"/>
      <c r="B23" s="16" t="str">
        <f>IF(ISBLANK(A23),"",VLOOKUP((A23),Menu[[Menú del Restaurante]:[Precio de comida]],2,FALSE))</f>
        <v/>
      </c>
      <c r="C23" s="15"/>
      <c r="D23" s="17">
        <f t="shared" si="0"/>
        <v>0</v>
      </c>
    </row>
    <row r="24" spans="1:4" x14ac:dyDescent="0.25">
      <c r="A24" s="15"/>
      <c r="B24" s="16" t="str">
        <f>IF(ISBLANK(A24),"",VLOOKUP((A24),Menu[[Menú del Restaurante]:[Precio de comida]],2,FALSE))</f>
        <v/>
      </c>
      <c r="C24" s="15"/>
      <c r="D24" s="17">
        <f t="shared" si="0"/>
        <v>0</v>
      </c>
    </row>
    <row r="25" spans="1:4" x14ac:dyDescent="0.25">
      <c r="A25" s="15"/>
      <c r="B25" s="16" t="str">
        <f>IF(ISBLANK(A25),"",VLOOKUP((A25),Menu[[Menú del Restaurante]:[Precio de comida]],2,FALSE))</f>
        <v/>
      </c>
      <c r="C25" s="15"/>
      <c r="D25" s="17">
        <f t="shared" si="0"/>
        <v>0</v>
      </c>
    </row>
    <row r="26" spans="1:4" x14ac:dyDescent="0.25">
      <c r="A26" s="15"/>
      <c r="B26" s="16" t="str">
        <f>IF(ISBLANK(A26),"",VLOOKUP((A26),Menu[[Menú del Restaurante]:[Precio de comida]],2,FALSE))</f>
        <v/>
      </c>
      <c r="C26" s="15"/>
      <c r="D26" s="17">
        <f t="shared" si="0"/>
        <v>0</v>
      </c>
    </row>
    <row r="27" spans="1:4" x14ac:dyDescent="0.25">
      <c r="A27" s="15"/>
      <c r="B27" s="16" t="str">
        <f>IF(ISBLANK(A27),"",VLOOKUP((A27),Menu[[Menú del Restaurante]:[Precio de comida]],2,FALSE))</f>
        <v/>
      </c>
      <c r="C27" s="15"/>
      <c r="D27" s="17">
        <f t="shared" si="0"/>
        <v>0</v>
      </c>
    </row>
    <row r="28" spans="1:4" x14ac:dyDescent="0.25">
      <c r="A28" s="15"/>
      <c r="B28" s="16" t="str">
        <f>IF(ISBLANK(A28),"",VLOOKUP((A28),Menu[[Menú del Restaurante]:[Precio de comida]],2,FALSE))</f>
        <v/>
      </c>
      <c r="C28" s="15"/>
      <c r="D28" s="17">
        <f t="shared" si="0"/>
        <v>0</v>
      </c>
    </row>
    <row r="29" spans="1:4" x14ac:dyDescent="0.25">
      <c r="C29" s="5" t="s">
        <v>30</v>
      </c>
      <c r="D29" s="4">
        <f>SUM(D10:D28)</f>
        <v>176</v>
      </c>
    </row>
  </sheetData>
  <mergeCells count="3">
    <mergeCell ref="A1:E3"/>
    <mergeCell ref="A4:E4"/>
    <mergeCell ref="B7:E7"/>
  </mergeCells>
  <dataValidations count="2">
    <dataValidation type="whole" operator="greaterThan" allowBlank="1" showInputMessage="1" showErrorMessage="1" errorTitle="Error" error="no se puede poner una cantidad igualitaria a cero debe ser mayor" sqref="C10:C12">
      <formula1>0</formula1>
    </dataValidation>
    <dataValidation type="whole" operator="greaterThan" allowBlank="1" showInputMessage="1" showErrorMessage="1" errorTitle="Error" error="No se puede poner una cantidad igualitaria a cero debe ser mayor" sqref="C13:C28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Imprimir_ticket">
                <anchor moveWithCells="1" sizeWithCells="1">
                  <from>
                    <xdr:col>5</xdr:col>
                    <xdr:colOff>504825</xdr:colOff>
                    <xdr:row>7</xdr:row>
                    <xdr:rowOff>133350</xdr:rowOff>
                  </from>
                  <to>
                    <xdr:col>8</xdr:col>
                    <xdr:colOff>47625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'Base de datos'!$E$5:$E$14</xm:f>
          </x14:formula1>
          <xm:sqref>A13:A28</xm:sqref>
        </x14:dataValidation>
        <x14:dataValidation type="list" allowBlank="1" showInputMessage="1" showErrorMessage="1">
          <x14:formula1>
            <xm:f>'Base de datos'!$E$5:$E$16</xm:f>
          </x14:formula1>
          <xm:sqref>A10:A12</xm:sqref>
        </x14:dataValidation>
        <x14:dataValidation type="list" allowBlank="1" showInputMessage="1" showErrorMessage="1">
          <x14:formula1>
            <xm:f>'Base de datos'!$B$5:$B$9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0"/>
  <sheetViews>
    <sheetView view="pageBreakPreview" zoomScale="82" zoomScaleNormal="172" zoomScaleSheetLayoutView="82" workbookViewId="0">
      <selection sqref="A1:E3"/>
    </sheetView>
  </sheetViews>
  <sheetFormatPr baseColWidth="10" defaultRowHeight="15" x14ac:dyDescent="0.25"/>
  <cols>
    <col min="1" max="1" width="39.5703125" customWidth="1"/>
    <col min="2" max="2" width="16.28515625" customWidth="1"/>
    <col min="3" max="3" width="15.28515625" customWidth="1"/>
    <col min="4" max="4" width="12.7109375" customWidth="1"/>
    <col min="5" max="5" width="3.7109375" hidden="1" customWidth="1"/>
  </cols>
  <sheetData>
    <row r="1" spans="1:5" x14ac:dyDescent="0.25">
      <c r="A1" s="7" t="s">
        <v>2</v>
      </c>
      <c r="B1" s="8"/>
      <c r="C1" s="8"/>
      <c r="D1" s="8"/>
      <c r="E1" s="8"/>
    </row>
    <row r="2" spans="1:5" x14ac:dyDescent="0.25">
      <c r="A2" s="8"/>
      <c r="B2" s="8"/>
      <c r="C2" s="8"/>
      <c r="D2" s="8"/>
      <c r="E2" s="8"/>
    </row>
    <row r="3" spans="1:5" x14ac:dyDescent="0.25">
      <c r="A3" s="8"/>
      <c r="B3" s="8"/>
      <c r="C3" s="8"/>
      <c r="D3" s="8"/>
      <c r="E3" s="8"/>
    </row>
    <row r="4" spans="1:5" x14ac:dyDescent="0.25">
      <c r="A4" s="9"/>
      <c r="B4" s="9"/>
      <c r="C4" s="9"/>
      <c r="D4" s="9"/>
      <c r="E4" s="9"/>
    </row>
    <row r="6" spans="1:5" x14ac:dyDescent="0.25">
      <c r="A6" s="1" t="s">
        <v>1</v>
      </c>
      <c r="B6">
        <v>2</v>
      </c>
      <c r="C6" t="s">
        <v>5</v>
      </c>
      <c r="D6" s="2">
        <f ca="1">TODAY()</f>
        <v>45346</v>
      </c>
      <c r="E6" s="2"/>
    </row>
    <row r="7" spans="1:5" x14ac:dyDescent="0.25">
      <c r="A7" s="1" t="s">
        <v>6</v>
      </c>
      <c r="B7" s="14" t="s">
        <v>11</v>
      </c>
      <c r="C7" s="14"/>
      <c r="D7" s="14"/>
      <c r="E7" s="14"/>
    </row>
    <row r="9" spans="1:5" x14ac:dyDescent="0.25">
      <c r="A9" t="s">
        <v>26</v>
      </c>
      <c r="B9" t="s">
        <v>27</v>
      </c>
      <c r="C9" t="s">
        <v>28</v>
      </c>
      <c r="D9" t="s">
        <v>29</v>
      </c>
    </row>
    <row r="10" spans="1:5" x14ac:dyDescent="0.25">
      <c r="A10" s="11" t="s">
        <v>17</v>
      </c>
      <c r="B10" s="12">
        <f>IF(ISBLANK(A10),"",VLOOKUP((A10),Menu[[Menú del Restaurante]:[Precio de comida]],2,FALSE))</f>
        <v>11</v>
      </c>
      <c r="C10" s="11">
        <v>7</v>
      </c>
      <c r="D10" s="13">
        <f t="shared" ref="D10:D28" si="0">PRODUCT(B10:C10)</f>
        <v>77</v>
      </c>
    </row>
    <row r="11" spans="1:5" x14ac:dyDescent="0.25">
      <c r="A11" s="11" t="s">
        <v>25</v>
      </c>
      <c r="B11" s="12">
        <f>IF(ISBLANK(A11),"",VLOOKUP((A11),Menu[[Menú del Restaurante]:[Precio de comida]],2,FALSE))</f>
        <v>50</v>
      </c>
      <c r="C11" s="11">
        <v>1</v>
      </c>
      <c r="D11" s="13">
        <f t="shared" si="0"/>
        <v>50</v>
      </c>
    </row>
    <row r="12" spans="1:5" x14ac:dyDescent="0.25">
      <c r="A12" s="11" t="s">
        <v>22</v>
      </c>
      <c r="B12" s="12">
        <f>IF(ISBLANK(A12),"",VLOOKUP((A12),Menu[[Menú del Restaurante]:[Precio de comida]],2,FALSE))</f>
        <v>22</v>
      </c>
      <c r="C12" s="11">
        <v>1</v>
      </c>
      <c r="D12" s="13">
        <f t="shared" si="0"/>
        <v>22</v>
      </c>
    </row>
    <row r="13" spans="1:5" x14ac:dyDescent="0.25">
      <c r="B13" s="3" t="str">
        <f>IF(ISBLANK(A13),"",VLOOKUP((A13),Menu[[Menú del Restaurante]:[Precio de comida]],2,FALSE))</f>
        <v/>
      </c>
      <c r="D13" s="4">
        <f t="shared" si="0"/>
        <v>0</v>
      </c>
    </row>
    <row r="14" spans="1:5" x14ac:dyDescent="0.25">
      <c r="B14" s="3" t="str">
        <f>IF(ISBLANK(A14),"",VLOOKUP((A14),Menu[[Menú del Restaurante]:[Precio de comida]],2,FALSE))</f>
        <v/>
      </c>
      <c r="D14" s="4">
        <f t="shared" si="0"/>
        <v>0</v>
      </c>
    </row>
    <row r="15" spans="1:5" x14ac:dyDescent="0.25">
      <c r="B15" s="3" t="str">
        <f>IF(ISBLANK(A15),"",VLOOKUP((A15),Menu[[Menú del Restaurante]:[Precio de comida]],2,FALSE))</f>
        <v/>
      </c>
      <c r="D15" s="4">
        <f t="shared" si="0"/>
        <v>0</v>
      </c>
    </row>
    <row r="16" spans="1:5" x14ac:dyDescent="0.25">
      <c r="B16" s="3" t="str">
        <f>IF(ISBLANK(A16),"",VLOOKUP((A16),Menu[[Menú del Restaurante]:[Precio de comida]],2,FALSE))</f>
        <v/>
      </c>
      <c r="D16" s="4">
        <f t="shared" si="0"/>
        <v>0</v>
      </c>
    </row>
    <row r="17" spans="2:4" x14ac:dyDescent="0.25">
      <c r="B17" s="3" t="str">
        <f>IF(ISBLANK(A17),"",VLOOKUP((A17),Menu[[Menú del Restaurante]:[Precio de comida]],2,FALSE))</f>
        <v/>
      </c>
      <c r="D17" s="4">
        <f t="shared" si="0"/>
        <v>0</v>
      </c>
    </row>
    <row r="18" spans="2:4" x14ac:dyDescent="0.25">
      <c r="B18" s="3" t="str">
        <f>IF(ISBLANK(A18),"",VLOOKUP((A18),Menu[[Menú del Restaurante]:[Precio de comida]],2,FALSE))</f>
        <v/>
      </c>
      <c r="D18" s="4">
        <f t="shared" si="0"/>
        <v>0</v>
      </c>
    </row>
    <row r="19" spans="2:4" x14ac:dyDescent="0.25">
      <c r="B19" s="3" t="str">
        <f>IF(ISBLANK(A19),"",VLOOKUP((A19),Menu[[Menú del Restaurante]:[Precio de comida]],2,FALSE))</f>
        <v/>
      </c>
      <c r="D19" s="4">
        <f t="shared" si="0"/>
        <v>0</v>
      </c>
    </row>
    <row r="20" spans="2:4" x14ac:dyDescent="0.25">
      <c r="B20" s="3" t="str">
        <f>IF(ISBLANK(A20),"",VLOOKUP((A20),Menu[[Menú del Restaurante]:[Precio de comida]],2,FALSE))</f>
        <v/>
      </c>
      <c r="D20" s="4">
        <f t="shared" si="0"/>
        <v>0</v>
      </c>
    </row>
    <row r="21" spans="2:4" x14ac:dyDescent="0.25">
      <c r="B21" s="3" t="str">
        <f>IF(ISBLANK(A21),"",VLOOKUP((A21),Menu[[Menú del Restaurante]:[Precio de comida]],2,FALSE))</f>
        <v/>
      </c>
      <c r="D21" s="4">
        <f t="shared" si="0"/>
        <v>0</v>
      </c>
    </row>
    <row r="22" spans="2:4" x14ac:dyDescent="0.25">
      <c r="B22" s="3" t="str">
        <f>IF(ISBLANK(A22),"",VLOOKUP((A22),Menu[[Menú del Restaurante]:[Precio de comida]],2,FALSE))</f>
        <v/>
      </c>
      <c r="D22" s="4">
        <f t="shared" si="0"/>
        <v>0</v>
      </c>
    </row>
    <row r="23" spans="2:4" x14ac:dyDescent="0.25">
      <c r="B23" s="3" t="str">
        <f>IF(ISBLANK(A23),"",VLOOKUP((A23),Menu[[Menú del Restaurante]:[Precio de comida]],2,FALSE))</f>
        <v/>
      </c>
      <c r="D23" s="4">
        <f t="shared" si="0"/>
        <v>0</v>
      </c>
    </row>
    <row r="24" spans="2:4" x14ac:dyDescent="0.25">
      <c r="B24" s="3" t="str">
        <f>IF(ISBLANK(A24),"",VLOOKUP((A24),Menu[[Menú del Restaurante]:[Precio de comida]],2,FALSE))</f>
        <v/>
      </c>
      <c r="D24" s="4">
        <f t="shared" si="0"/>
        <v>0</v>
      </c>
    </row>
    <row r="25" spans="2:4" x14ac:dyDescent="0.25">
      <c r="B25" s="3" t="str">
        <f>IF(ISBLANK(A25),"",VLOOKUP((A25),Menu[[Menú del Restaurante]:[Precio de comida]],2,FALSE))</f>
        <v/>
      </c>
      <c r="D25" s="4">
        <f t="shared" si="0"/>
        <v>0</v>
      </c>
    </row>
    <row r="26" spans="2:4" x14ac:dyDescent="0.25">
      <c r="B26" s="3" t="str">
        <f>IF(ISBLANK(A26),"",VLOOKUP((A26),Menu[[Menú del Restaurante]:[Precio de comida]],2,FALSE))</f>
        <v/>
      </c>
      <c r="D26" s="4">
        <f t="shared" si="0"/>
        <v>0</v>
      </c>
    </row>
    <row r="27" spans="2:4" x14ac:dyDescent="0.25">
      <c r="B27" s="3" t="str">
        <f>IF(ISBLANK(A27),"",VLOOKUP((A27),Menu[[Menú del Restaurante]:[Precio de comida]],2,FALSE))</f>
        <v/>
      </c>
      <c r="D27" s="4">
        <f t="shared" si="0"/>
        <v>0</v>
      </c>
    </row>
    <row r="28" spans="2:4" x14ac:dyDescent="0.25">
      <c r="B28" s="3" t="str">
        <f>IF(ISBLANK(A28),"",VLOOKUP((A28),Menu[[Menú del Restaurante]:[Precio de comida]],2,FALSE))</f>
        <v/>
      </c>
      <c r="D28" s="4">
        <f t="shared" si="0"/>
        <v>0</v>
      </c>
    </row>
    <row r="29" spans="2:4" x14ac:dyDescent="0.25">
      <c r="C29" s="5" t="s">
        <v>30</v>
      </c>
      <c r="D29" s="4">
        <f>SUM(D10:D28)</f>
        <v>149</v>
      </c>
    </row>
    <row r="30" spans="2:4" x14ac:dyDescent="0.25">
      <c r="C30" s="4"/>
    </row>
  </sheetData>
  <mergeCells count="3">
    <mergeCell ref="A1:E3"/>
    <mergeCell ref="A4:E4"/>
    <mergeCell ref="B7:E7"/>
  </mergeCells>
  <dataValidations count="2">
    <dataValidation type="whole" operator="greaterThan" allowBlank="1" showInputMessage="1" showErrorMessage="1" errorTitle="Error" error="no se puede poner una cantidad igualitaria a cero debe ser mayor" sqref="C10:C12">
      <formula1>0</formula1>
    </dataValidation>
    <dataValidation type="whole" operator="greaterThan" allowBlank="1" showInputMessage="1" showErrorMessage="1" errorTitle="Error" error="No se puede poner una cantidad igualitaria a cero debe ser mayor" sqref="C13:C28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ecibir_el_ticket">
                <anchor moveWithCells="1" sizeWithCells="1">
                  <from>
                    <xdr:col>5</xdr:col>
                    <xdr:colOff>657225</xdr:colOff>
                    <xdr:row>6</xdr:row>
                    <xdr:rowOff>123825</xdr:rowOff>
                  </from>
                  <to>
                    <xdr:col>8</xdr:col>
                    <xdr:colOff>209550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'Base de datos'!$E$5:$E$14</xm:f>
          </x14:formula1>
          <xm:sqref>A13:A28</xm:sqref>
        </x14:dataValidation>
        <x14:dataValidation type="list" allowBlank="1" showInputMessage="1" showErrorMessage="1">
          <x14:formula1>
            <xm:f>'Base de datos'!$E$5:$E$16</xm:f>
          </x14:formula1>
          <xm:sqref>A10:A12</xm:sqref>
        </x14:dataValidation>
        <x14:dataValidation type="list" allowBlank="1" showInputMessage="1" showErrorMessage="1">
          <x14:formula1>
            <xm:f>'Base de datos'!$B$5:$B$9</xm:f>
          </x14:formula1>
          <xm:sqref>B7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0"/>
  <sheetViews>
    <sheetView view="pageBreakPreview" zoomScale="82" zoomScaleNormal="196" zoomScaleSheetLayoutView="82" workbookViewId="0">
      <selection sqref="A1:E3"/>
    </sheetView>
  </sheetViews>
  <sheetFormatPr baseColWidth="10" defaultRowHeight="15" x14ac:dyDescent="0.25"/>
  <cols>
    <col min="1" max="1" width="33.140625" customWidth="1"/>
    <col min="4" max="4" width="11.28515625" customWidth="1"/>
    <col min="5" max="5" width="0.7109375" customWidth="1"/>
  </cols>
  <sheetData>
    <row r="1" spans="1:5" x14ac:dyDescent="0.25">
      <c r="A1" s="7" t="s">
        <v>4</v>
      </c>
      <c r="B1" s="8"/>
      <c r="C1" s="8"/>
      <c r="D1" s="8"/>
      <c r="E1" s="8"/>
    </row>
    <row r="2" spans="1:5" x14ac:dyDescent="0.25">
      <c r="A2" s="8"/>
      <c r="B2" s="8"/>
      <c r="C2" s="8"/>
      <c r="D2" s="8"/>
      <c r="E2" s="8"/>
    </row>
    <row r="3" spans="1:5" x14ac:dyDescent="0.25">
      <c r="A3" s="8"/>
      <c r="B3" s="8"/>
      <c r="C3" s="8"/>
      <c r="D3" s="8"/>
      <c r="E3" s="8"/>
    </row>
    <row r="4" spans="1:5" x14ac:dyDescent="0.25">
      <c r="A4" s="9"/>
      <c r="B4" s="9"/>
      <c r="C4" s="9"/>
      <c r="D4" s="9"/>
      <c r="E4" s="9"/>
    </row>
    <row r="6" spans="1:5" x14ac:dyDescent="0.25">
      <c r="A6" s="1" t="s">
        <v>1</v>
      </c>
      <c r="B6" s="6">
        <v>3</v>
      </c>
      <c r="C6" s="6" t="s">
        <v>5</v>
      </c>
      <c r="D6" s="2">
        <f ca="1">TODAY()</f>
        <v>45346</v>
      </c>
      <c r="E6" s="2"/>
    </row>
    <row r="7" spans="1:5" x14ac:dyDescent="0.25">
      <c r="A7" s="1" t="s">
        <v>6</v>
      </c>
      <c r="B7" s="10" t="s">
        <v>10</v>
      </c>
      <c r="C7" s="10"/>
      <c r="D7" s="10"/>
      <c r="E7" s="10"/>
    </row>
    <row r="9" spans="1:5" x14ac:dyDescent="0.25">
      <c r="A9" t="s">
        <v>26</v>
      </c>
      <c r="B9" t="s">
        <v>27</v>
      </c>
      <c r="C9" t="s">
        <v>28</v>
      </c>
      <c r="D9" t="s">
        <v>29</v>
      </c>
    </row>
    <row r="10" spans="1:5" x14ac:dyDescent="0.25">
      <c r="A10" s="11" t="s">
        <v>19</v>
      </c>
      <c r="B10" s="12">
        <f>IF(ISBLANK(A10),"",VLOOKUP((A10),Menu[[Menú del Restaurante]:[Precio de comida]],2,FALSE))</f>
        <v>56</v>
      </c>
      <c r="C10" s="11">
        <v>1</v>
      </c>
      <c r="D10" s="13">
        <f t="shared" ref="D10:D28" si="0">PRODUCT(B10:C10)</f>
        <v>56</v>
      </c>
    </row>
    <row r="11" spans="1:5" x14ac:dyDescent="0.25">
      <c r="A11" s="11" t="s">
        <v>14</v>
      </c>
      <c r="B11" s="12">
        <f>IF(ISBLANK(A11),"",VLOOKUP((A11),Menu[[Menú del Restaurante]:[Precio de comida]],2,FALSE))</f>
        <v>1200</v>
      </c>
      <c r="C11" s="11">
        <v>1</v>
      </c>
      <c r="D11" s="13">
        <f t="shared" si="0"/>
        <v>1200</v>
      </c>
    </row>
    <row r="12" spans="1:5" x14ac:dyDescent="0.25">
      <c r="A12" s="11" t="s">
        <v>21</v>
      </c>
      <c r="B12" s="12">
        <f>IF(ISBLANK(A12),"",VLOOKUP((A12),Menu[[Menú del Restaurante]:[Precio de comida]],2,FALSE))</f>
        <v>25</v>
      </c>
      <c r="C12" s="11">
        <v>2</v>
      </c>
      <c r="D12" s="13">
        <f t="shared" si="0"/>
        <v>50</v>
      </c>
    </row>
    <row r="13" spans="1:5" x14ac:dyDescent="0.25">
      <c r="A13" s="11"/>
      <c r="B13" s="12" t="str">
        <f>IF(ISBLANK(A13),"",VLOOKUP((A13),Menu[[Menú del Restaurante]:[Precio de comida]],2,FALSE))</f>
        <v/>
      </c>
      <c r="C13" s="11"/>
      <c r="D13" s="13">
        <f t="shared" si="0"/>
        <v>0</v>
      </c>
    </row>
    <row r="14" spans="1:5" x14ac:dyDescent="0.25">
      <c r="A14" s="11"/>
      <c r="B14" s="12" t="str">
        <f>IF(ISBLANK(A14),"",VLOOKUP((A14),Menu[[Menú del Restaurante]:[Precio de comida]],2,FALSE))</f>
        <v/>
      </c>
      <c r="C14" s="11"/>
      <c r="D14" s="13">
        <f t="shared" si="0"/>
        <v>0</v>
      </c>
    </row>
    <row r="15" spans="1:5" x14ac:dyDescent="0.25">
      <c r="A15" s="11"/>
      <c r="B15" s="12" t="str">
        <f>IF(ISBLANK(A15),"",VLOOKUP((A15),Menu[[Menú del Restaurante]:[Precio de comida]],2,FALSE))</f>
        <v/>
      </c>
      <c r="C15" s="11"/>
      <c r="D15" s="13">
        <f t="shared" si="0"/>
        <v>0</v>
      </c>
    </row>
    <row r="16" spans="1:5" x14ac:dyDescent="0.25">
      <c r="A16" s="11"/>
      <c r="B16" s="12" t="str">
        <f>IF(ISBLANK(A16),"",VLOOKUP((A16),Menu[[Menú del Restaurante]:[Precio de comida]],2,FALSE))</f>
        <v/>
      </c>
      <c r="C16" s="11"/>
      <c r="D16" s="13">
        <f t="shared" si="0"/>
        <v>0</v>
      </c>
    </row>
    <row r="17" spans="1:4" x14ac:dyDescent="0.25">
      <c r="A17" s="11"/>
      <c r="B17" s="12" t="str">
        <f>IF(ISBLANK(A17),"",VLOOKUP((A17),Menu[[Menú del Restaurante]:[Precio de comida]],2,FALSE))</f>
        <v/>
      </c>
      <c r="C17" s="11"/>
      <c r="D17" s="13">
        <f t="shared" si="0"/>
        <v>0</v>
      </c>
    </row>
    <row r="18" spans="1:4" x14ac:dyDescent="0.25">
      <c r="A18" s="11"/>
      <c r="B18" s="12" t="str">
        <f>IF(ISBLANK(A18),"",VLOOKUP((A18),Menu[[Menú del Restaurante]:[Precio de comida]],2,FALSE))</f>
        <v/>
      </c>
      <c r="C18" s="11"/>
      <c r="D18" s="13">
        <f t="shared" si="0"/>
        <v>0</v>
      </c>
    </row>
    <row r="19" spans="1:4" x14ac:dyDescent="0.25">
      <c r="A19" s="11"/>
      <c r="B19" s="12" t="str">
        <f>IF(ISBLANK(A19),"",VLOOKUP((A19),Menu[[Menú del Restaurante]:[Precio de comida]],2,FALSE))</f>
        <v/>
      </c>
      <c r="C19" s="11"/>
      <c r="D19" s="13">
        <f t="shared" si="0"/>
        <v>0</v>
      </c>
    </row>
    <row r="20" spans="1:4" x14ac:dyDescent="0.25">
      <c r="A20" s="11"/>
      <c r="B20" s="12" t="str">
        <f>IF(ISBLANK(A20),"",VLOOKUP((A20),Menu[[Menú del Restaurante]:[Precio de comida]],2,FALSE))</f>
        <v/>
      </c>
      <c r="C20" s="11"/>
      <c r="D20" s="13">
        <f t="shared" si="0"/>
        <v>0</v>
      </c>
    </row>
    <row r="21" spans="1:4" x14ac:dyDescent="0.25">
      <c r="A21" s="11"/>
      <c r="B21" s="12" t="str">
        <f>IF(ISBLANK(A21),"",VLOOKUP((A21),Menu[[Menú del Restaurante]:[Precio de comida]],2,FALSE))</f>
        <v/>
      </c>
      <c r="C21" s="11"/>
      <c r="D21" s="13">
        <f t="shared" si="0"/>
        <v>0</v>
      </c>
    </row>
    <row r="22" spans="1:4" x14ac:dyDescent="0.25">
      <c r="A22" s="11"/>
      <c r="B22" s="12" t="str">
        <f>IF(ISBLANK(A22),"",VLOOKUP((A22),Menu[[Menú del Restaurante]:[Precio de comida]],2,FALSE))</f>
        <v/>
      </c>
      <c r="C22" s="11"/>
      <c r="D22" s="13">
        <f t="shared" si="0"/>
        <v>0</v>
      </c>
    </row>
    <row r="23" spans="1:4" x14ac:dyDescent="0.25">
      <c r="A23" s="11"/>
      <c r="B23" s="12" t="str">
        <f>IF(ISBLANK(A23),"",VLOOKUP((A23),Menu[[Menú del Restaurante]:[Precio de comida]],2,FALSE))</f>
        <v/>
      </c>
      <c r="C23" s="11"/>
      <c r="D23" s="13">
        <f t="shared" si="0"/>
        <v>0</v>
      </c>
    </row>
    <row r="24" spans="1:4" x14ac:dyDescent="0.25">
      <c r="A24" s="11"/>
      <c r="B24" s="12" t="str">
        <f>IF(ISBLANK(A24),"",VLOOKUP((A24),Menu[[Menú del Restaurante]:[Precio de comida]],2,FALSE))</f>
        <v/>
      </c>
      <c r="C24" s="11"/>
      <c r="D24" s="13">
        <f t="shared" si="0"/>
        <v>0</v>
      </c>
    </row>
    <row r="25" spans="1:4" x14ac:dyDescent="0.25">
      <c r="A25" s="11"/>
      <c r="B25" s="12" t="str">
        <f>IF(ISBLANK(A25),"",VLOOKUP((A25),Menu[[Menú del Restaurante]:[Precio de comida]],2,FALSE))</f>
        <v/>
      </c>
      <c r="C25" s="11"/>
      <c r="D25" s="13">
        <f t="shared" si="0"/>
        <v>0</v>
      </c>
    </row>
    <row r="26" spans="1:4" x14ac:dyDescent="0.25">
      <c r="A26" s="11"/>
      <c r="B26" s="12" t="str">
        <f>IF(ISBLANK(A26),"",VLOOKUP((A26),Menu[[Menú del Restaurante]:[Precio de comida]],2,FALSE))</f>
        <v/>
      </c>
      <c r="C26" s="11"/>
      <c r="D26" s="13">
        <f t="shared" si="0"/>
        <v>0</v>
      </c>
    </row>
    <row r="27" spans="1:4" x14ac:dyDescent="0.25">
      <c r="A27" s="11"/>
      <c r="B27" s="12" t="str">
        <f>IF(ISBLANK(A27),"",VLOOKUP((A27),Menu[[Menú del Restaurante]:[Precio de comida]],2,FALSE))</f>
        <v/>
      </c>
      <c r="C27" s="11"/>
      <c r="D27" s="13">
        <f t="shared" si="0"/>
        <v>0</v>
      </c>
    </row>
    <row r="28" spans="1:4" x14ac:dyDescent="0.25">
      <c r="B28" s="3" t="str">
        <f>IF(ISBLANK(A28),"",VLOOKUP((A28),Menu[[Menú del Restaurante]:[Precio de comida]],2,FALSE))</f>
        <v/>
      </c>
      <c r="D28" s="4">
        <f t="shared" si="0"/>
        <v>0</v>
      </c>
    </row>
    <row r="29" spans="1:4" x14ac:dyDescent="0.25">
      <c r="C29" s="5" t="s">
        <v>30</v>
      </c>
      <c r="D29" s="4">
        <f>SUM(D10:D28)</f>
        <v>1306</v>
      </c>
    </row>
    <row r="30" spans="1:4" x14ac:dyDescent="0.25">
      <c r="B30" s="3"/>
      <c r="D30" s="4"/>
    </row>
  </sheetData>
  <mergeCells count="3">
    <mergeCell ref="A1:E3"/>
    <mergeCell ref="A4:E4"/>
    <mergeCell ref="B7:E7"/>
  </mergeCells>
  <dataValidations count="2">
    <dataValidation type="whole" operator="greaterThan" allowBlank="1" showInputMessage="1" showErrorMessage="1" errorTitle="Error" error="no se puede poner una cantidad igualitaria a cero debe ser mayor" sqref="C10:C12">
      <formula1>0</formula1>
    </dataValidation>
    <dataValidation type="whole" operator="greaterThan" allowBlank="1" showInputMessage="1" showErrorMessage="1" errorTitle="Error" error="No se puede poner una cantidad igualitaria a cero debe ser mayor" sqref="C13:C28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Imprimir_ticket">
                <anchor moveWithCells="1" sizeWithCells="1">
                  <from>
                    <xdr:col>5</xdr:col>
                    <xdr:colOff>457200</xdr:colOff>
                    <xdr:row>9</xdr:row>
                    <xdr:rowOff>66675</xdr:rowOff>
                  </from>
                  <to>
                    <xdr:col>8</xdr:col>
                    <xdr:colOff>95250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'Base de datos'!$E$5:$E$14</xm:f>
          </x14:formula1>
          <xm:sqref>A30 A13:A28</xm:sqref>
        </x14:dataValidation>
        <x14:dataValidation type="list" allowBlank="1" showInputMessage="1" showErrorMessage="1">
          <x14:formula1>
            <xm:f>'Base de datos'!$E$5:$E$16</xm:f>
          </x14:formula1>
          <xm:sqref>A10:A12</xm:sqref>
        </x14:dataValidation>
        <x14:dataValidation type="list" allowBlank="1" showInputMessage="1" showErrorMessage="1">
          <x14:formula1>
            <xm:f>'Base de datos'!$B$5:$B$9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9"/>
  <sheetViews>
    <sheetView tabSelected="1" view="pageBreakPreview" zoomScale="82" zoomScaleNormal="220" zoomScaleSheetLayoutView="82" workbookViewId="0">
      <selection activeCell="G25" sqref="G25"/>
    </sheetView>
  </sheetViews>
  <sheetFormatPr baseColWidth="10" defaultRowHeight="15" x14ac:dyDescent="0.25"/>
  <cols>
    <col min="1" max="1" width="32.28515625" customWidth="1"/>
    <col min="5" max="5" width="0.140625" customWidth="1"/>
  </cols>
  <sheetData>
    <row r="1" spans="1:5" x14ac:dyDescent="0.25">
      <c r="A1" s="7" t="s">
        <v>3</v>
      </c>
      <c r="B1" s="8"/>
      <c r="C1" s="8"/>
      <c r="D1" s="8"/>
      <c r="E1" s="8"/>
    </row>
    <row r="2" spans="1:5" x14ac:dyDescent="0.25">
      <c r="A2" s="8"/>
      <c r="B2" s="8"/>
      <c r="C2" s="8"/>
      <c r="D2" s="8"/>
      <c r="E2" s="8"/>
    </row>
    <row r="3" spans="1:5" x14ac:dyDescent="0.25">
      <c r="A3" s="8"/>
      <c r="B3" s="8"/>
      <c r="C3" s="8"/>
      <c r="D3" s="8"/>
      <c r="E3" s="8"/>
    </row>
    <row r="4" spans="1:5" x14ac:dyDescent="0.25">
      <c r="A4" s="9"/>
      <c r="B4" s="9"/>
      <c r="C4" s="9"/>
      <c r="D4" s="9"/>
      <c r="E4" s="9"/>
    </row>
    <row r="6" spans="1:5" x14ac:dyDescent="0.25">
      <c r="A6" s="1" t="s">
        <v>1</v>
      </c>
      <c r="B6" s="6">
        <v>4</v>
      </c>
      <c r="C6" s="6" t="s">
        <v>5</v>
      </c>
      <c r="D6" s="2">
        <f ca="1">TODAY()</f>
        <v>45346</v>
      </c>
      <c r="E6" s="2"/>
    </row>
    <row r="7" spans="1:5" x14ac:dyDescent="0.25">
      <c r="A7" s="1" t="s">
        <v>6</v>
      </c>
      <c r="B7" s="10" t="s">
        <v>8</v>
      </c>
      <c r="C7" s="10"/>
      <c r="D7" s="10"/>
      <c r="E7" s="10"/>
    </row>
    <row r="9" spans="1:5" x14ac:dyDescent="0.25">
      <c r="A9" t="s">
        <v>26</v>
      </c>
      <c r="B9" t="s">
        <v>27</v>
      </c>
      <c r="C9" t="s">
        <v>28</v>
      </c>
      <c r="D9" t="s">
        <v>29</v>
      </c>
    </row>
    <row r="10" spans="1:5" x14ac:dyDescent="0.25">
      <c r="A10" s="11" t="s">
        <v>18</v>
      </c>
      <c r="B10" s="12">
        <f>IF(ISBLANK(A10),"",VLOOKUP((A10),Menu[[Menú del Restaurante]:[Precio de comida]],2,FALSE))</f>
        <v>12</v>
      </c>
      <c r="C10" s="11">
        <v>6</v>
      </c>
      <c r="D10" s="13">
        <f t="shared" ref="D10:D28" si="0">PRODUCT(B10:C10)</f>
        <v>72</v>
      </c>
    </row>
    <row r="11" spans="1:5" x14ac:dyDescent="0.25">
      <c r="A11" s="11" t="s">
        <v>31</v>
      </c>
      <c r="B11" s="12">
        <f>IF(ISBLANK(A11),"",VLOOKUP((A11),Menu[[Menú del Restaurante]:[Precio de comida]],2,FALSE))</f>
        <v>9</v>
      </c>
      <c r="C11" s="11">
        <v>2</v>
      </c>
      <c r="D11" s="13">
        <f t="shared" si="0"/>
        <v>18</v>
      </c>
    </row>
    <row r="12" spans="1:5" x14ac:dyDescent="0.25">
      <c r="A12" s="11" t="s">
        <v>24</v>
      </c>
      <c r="B12" s="12">
        <f>IF(ISBLANK(A12),"",VLOOKUP((A12),Menu[[Menú del Restaurante]:[Precio de comida]],2,FALSE))</f>
        <v>25</v>
      </c>
      <c r="C12" s="11">
        <v>1</v>
      </c>
      <c r="D12" s="13">
        <f t="shared" si="0"/>
        <v>25</v>
      </c>
    </row>
    <row r="13" spans="1:5" x14ac:dyDescent="0.25">
      <c r="A13" s="11"/>
      <c r="B13" s="12" t="str">
        <f>IF(ISBLANK(A13),"",VLOOKUP((A13),Menu[[Menú del Restaurante]:[Precio de comida]],2,FALSE))</f>
        <v/>
      </c>
      <c r="C13" s="11"/>
      <c r="D13" s="13">
        <f t="shared" si="0"/>
        <v>0</v>
      </c>
    </row>
    <row r="14" spans="1:5" x14ac:dyDescent="0.25">
      <c r="A14" s="11"/>
      <c r="B14" s="12" t="str">
        <f>IF(ISBLANK(A14),"",VLOOKUP((A14),Menu[[Menú del Restaurante]:[Precio de comida]],2,FALSE))</f>
        <v/>
      </c>
      <c r="C14" s="11"/>
      <c r="D14" s="13">
        <f t="shared" si="0"/>
        <v>0</v>
      </c>
    </row>
    <row r="15" spans="1:5" x14ac:dyDescent="0.25">
      <c r="A15" s="11"/>
      <c r="B15" s="12" t="str">
        <f>IF(ISBLANK(A15),"",VLOOKUP((A15),Menu[[Menú del Restaurante]:[Precio de comida]],2,FALSE))</f>
        <v/>
      </c>
      <c r="C15" s="11"/>
      <c r="D15" s="13">
        <f t="shared" si="0"/>
        <v>0</v>
      </c>
    </row>
    <row r="16" spans="1:5" x14ac:dyDescent="0.25">
      <c r="A16" s="11"/>
      <c r="B16" s="12" t="str">
        <f>IF(ISBLANK(A16),"",VLOOKUP((A16),Menu[[Menú del Restaurante]:[Precio de comida]],2,FALSE))</f>
        <v/>
      </c>
      <c r="C16" s="11"/>
      <c r="D16" s="13">
        <f t="shared" si="0"/>
        <v>0</v>
      </c>
    </row>
    <row r="17" spans="1:4" x14ac:dyDescent="0.25">
      <c r="A17" s="11"/>
      <c r="B17" s="12" t="str">
        <f>IF(ISBLANK(A17),"",VLOOKUP((A17),Menu[[Menú del Restaurante]:[Precio de comida]],2,FALSE))</f>
        <v/>
      </c>
      <c r="C17" s="11"/>
      <c r="D17" s="13">
        <f t="shared" si="0"/>
        <v>0</v>
      </c>
    </row>
    <row r="18" spans="1:4" x14ac:dyDescent="0.25">
      <c r="A18" s="11"/>
      <c r="B18" s="12" t="str">
        <f>IF(ISBLANK(A18),"",VLOOKUP((A18),Menu[[Menú del Restaurante]:[Precio de comida]],2,FALSE))</f>
        <v/>
      </c>
      <c r="C18" s="11"/>
      <c r="D18" s="13">
        <f t="shared" si="0"/>
        <v>0</v>
      </c>
    </row>
    <row r="19" spans="1:4" x14ac:dyDescent="0.25">
      <c r="A19" s="11"/>
      <c r="B19" s="12" t="str">
        <f>IF(ISBLANK(A19),"",VLOOKUP((A19),Menu[[Menú del Restaurante]:[Precio de comida]],2,FALSE))</f>
        <v/>
      </c>
      <c r="C19" s="11"/>
      <c r="D19" s="13">
        <f t="shared" si="0"/>
        <v>0</v>
      </c>
    </row>
    <row r="20" spans="1:4" x14ac:dyDescent="0.25">
      <c r="A20" s="11"/>
      <c r="B20" s="12" t="str">
        <f>IF(ISBLANK(A20),"",VLOOKUP((A20),Menu[[Menú del Restaurante]:[Precio de comida]],2,FALSE))</f>
        <v/>
      </c>
      <c r="C20" s="11"/>
      <c r="D20" s="13">
        <f t="shared" si="0"/>
        <v>0</v>
      </c>
    </row>
    <row r="21" spans="1:4" x14ac:dyDescent="0.25">
      <c r="A21" s="11"/>
      <c r="B21" s="12" t="str">
        <f>IF(ISBLANK(A21),"",VLOOKUP((A21),Menu[[Menú del Restaurante]:[Precio de comida]],2,FALSE))</f>
        <v/>
      </c>
      <c r="C21" s="11"/>
      <c r="D21" s="13">
        <f t="shared" si="0"/>
        <v>0</v>
      </c>
    </row>
    <row r="22" spans="1:4" x14ac:dyDescent="0.25">
      <c r="A22" s="11"/>
      <c r="B22" s="12" t="str">
        <f>IF(ISBLANK(A22),"",VLOOKUP((A22),Menu[[Menú del Restaurante]:[Precio de comida]],2,FALSE))</f>
        <v/>
      </c>
      <c r="C22" s="11"/>
      <c r="D22" s="13">
        <f t="shared" si="0"/>
        <v>0</v>
      </c>
    </row>
    <row r="23" spans="1:4" x14ac:dyDescent="0.25">
      <c r="A23" s="11"/>
      <c r="B23" s="12" t="str">
        <f>IF(ISBLANK(A23),"",VLOOKUP((A23),Menu[[Menú del Restaurante]:[Precio de comida]],2,FALSE))</f>
        <v/>
      </c>
      <c r="C23" s="11"/>
      <c r="D23" s="13">
        <f t="shared" si="0"/>
        <v>0</v>
      </c>
    </row>
    <row r="24" spans="1:4" x14ac:dyDescent="0.25">
      <c r="A24" s="11"/>
      <c r="B24" s="12" t="str">
        <f>IF(ISBLANK(A24),"",VLOOKUP((A24),Menu[[Menú del Restaurante]:[Precio de comida]],2,FALSE))</f>
        <v/>
      </c>
      <c r="C24" s="11"/>
      <c r="D24" s="13">
        <f t="shared" si="0"/>
        <v>0</v>
      </c>
    </row>
    <row r="25" spans="1:4" x14ac:dyDescent="0.25">
      <c r="A25" s="11"/>
      <c r="B25" s="12" t="str">
        <f>IF(ISBLANK(A25),"",VLOOKUP((A25),Menu[[Menú del Restaurante]:[Precio de comida]],2,FALSE))</f>
        <v/>
      </c>
      <c r="C25" s="11"/>
      <c r="D25" s="13">
        <f t="shared" si="0"/>
        <v>0</v>
      </c>
    </row>
    <row r="26" spans="1:4" x14ac:dyDescent="0.25">
      <c r="A26" s="11"/>
      <c r="B26" s="12" t="str">
        <f>IF(ISBLANK(A26),"",VLOOKUP((A26),Menu[[Menú del Restaurante]:[Precio de comida]],2,FALSE))</f>
        <v/>
      </c>
      <c r="C26" s="11"/>
      <c r="D26" s="13">
        <f t="shared" si="0"/>
        <v>0</v>
      </c>
    </row>
    <row r="27" spans="1:4" x14ac:dyDescent="0.25">
      <c r="A27" s="11"/>
      <c r="B27" s="12" t="str">
        <f>IF(ISBLANK(A27),"",VLOOKUP((A27),Menu[[Menú del Restaurante]:[Precio de comida]],2,FALSE))</f>
        <v/>
      </c>
      <c r="C27" s="11"/>
      <c r="D27" s="13">
        <f t="shared" si="0"/>
        <v>0</v>
      </c>
    </row>
    <row r="28" spans="1:4" x14ac:dyDescent="0.25">
      <c r="A28" s="11"/>
      <c r="B28" s="12" t="str">
        <f>IF(ISBLANK(A28),"",VLOOKUP((A28),Menu[[Menú del Restaurante]:[Precio de comida]],2,FALSE))</f>
        <v/>
      </c>
      <c r="C28" s="11"/>
      <c r="D28" s="13">
        <f t="shared" si="0"/>
        <v>0</v>
      </c>
    </row>
    <row r="29" spans="1:4" x14ac:dyDescent="0.25">
      <c r="C29" s="5" t="s">
        <v>30</v>
      </c>
      <c r="D29" s="4">
        <f>SUM(D10:D28)</f>
        <v>115</v>
      </c>
    </row>
  </sheetData>
  <mergeCells count="3">
    <mergeCell ref="A1:E3"/>
    <mergeCell ref="A4:E4"/>
    <mergeCell ref="B7:E7"/>
  </mergeCells>
  <dataValidations count="2">
    <dataValidation type="whole" operator="greaterThan" allowBlank="1" showInputMessage="1" showErrorMessage="1" errorTitle="Error" error="no se puede poner una cantidad igualitaria a cero debe ser mayor" sqref="C10:C12">
      <formula1>0</formula1>
    </dataValidation>
    <dataValidation type="whole" operator="greaterThan" allowBlank="1" showInputMessage="1" showErrorMessage="1" errorTitle="Error" error="No se puede poner una cantidad igualitaria a cero debe ser mayor" sqref="C13:C28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cibir_ticket">
                <anchor moveWithCells="1" sizeWithCells="1">
                  <from>
                    <xdr:col>5</xdr:col>
                    <xdr:colOff>428625</xdr:colOff>
                    <xdr:row>10</xdr:row>
                    <xdr:rowOff>38100</xdr:rowOff>
                  </from>
                  <to>
                    <xdr:col>7</xdr:col>
                    <xdr:colOff>742950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'Base de datos'!$E$5:$E$14</xm:f>
          </x14:formula1>
          <xm:sqref>A13:A28</xm:sqref>
        </x14:dataValidation>
        <x14:dataValidation type="list" allowBlank="1" showInputMessage="1" showErrorMessage="1">
          <x14:formula1>
            <xm:f>'Base de datos'!$E$5:$E$16</xm:f>
          </x14:formula1>
          <xm:sqref>A10:A12</xm:sqref>
        </x14:dataValidation>
        <x14:dataValidation type="list" allowBlank="1" showInputMessage="1" showErrorMessage="1">
          <x14:formula1>
            <xm:f>'Base de datos'!$B$5:$B$9</xm:f>
          </x14:formula1>
          <xm:sqref>B7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F16"/>
  <sheetViews>
    <sheetView zoomScale="118" zoomScaleNormal="118" workbookViewId="0">
      <selection activeCell="D8" sqref="D8"/>
    </sheetView>
  </sheetViews>
  <sheetFormatPr baseColWidth="10" defaultRowHeight="15" x14ac:dyDescent="0.25"/>
  <cols>
    <col min="5" max="5" width="37.28515625" customWidth="1"/>
    <col min="6" max="6" width="17.7109375" customWidth="1"/>
  </cols>
  <sheetData>
    <row r="4" spans="2:6" x14ac:dyDescent="0.25">
      <c r="B4" t="s">
        <v>9</v>
      </c>
      <c r="E4" s="1" t="s">
        <v>13</v>
      </c>
      <c r="F4" t="s">
        <v>15</v>
      </c>
    </row>
    <row r="5" spans="2:6" x14ac:dyDescent="0.25">
      <c r="B5" t="s">
        <v>10</v>
      </c>
      <c r="E5" t="s">
        <v>14</v>
      </c>
      <c r="F5" s="3">
        <v>1200</v>
      </c>
    </row>
    <row r="6" spans="2:6" x14ac:dyDescent="0.25">
      <c r="B6" t="s">
        <v>11</v>
      </c>
      <c r="E6" t="s">
        <v>25</v>
      </c>
      <c r="F6" s="3">
        <v>50</v>
      </c>
    </row>
    <row r="7" spans="2:6" x14ac:dyDescent="0.25">
      <c r="B7" t="s">
        <v>7</v>
      </c>
      <c r="E7" t="s">
        <v>16</v>
      </c>
      <c r="F7" s="3">
        <v>85</v>
      </c>
    </row>
    <row r="8" spans="2:6" x14ac:dyDescent="0.25">
      <c r="B8" t="s">
        <v>12</v>
      </c>
      <c r="E8" t="s">
        <v>17</v>
      </c>
      <c r="F8" s="3">
        <v>11</v>
      </c>
    </row>
    <row r="9" spans="2:6" x14ac:dyDescent="0.25">
      <c r="B9" t="s">
        <v>8</v>
      </c>
      <c r="E9" t="s">
        <v>18</v>
      </c>
      <c r="F9" s="3">
        <v>12</v>
      </c>
    </row>
    <row r="10" spans="2:6" x14ac:dyDescent="0.25">
      <c r="E10" t="s">
        <v>19</v>
      </c>
      <c r="F10" s="3">
        <v>56</v>
      </c>
    </row>
    <row r="11" spans="2:6" x14ac:dyDescent="0.25">
      <c r="E11" t="s">
        <v>21</v>
      </c>
      <c r="F11" s="3">
        <v>25</v>
      </c>
    </row>
    <row r="12" spans="2:6" x14ac:dyDescent="0.25">
      <c r="E12" t="s">
        <v>22</v>
      </c>
      <c r="F12" s="3">
        <v>22</v>
      </c>
    </row>
    <row r="13" spans="2:6" x14ac:dyDescent="0.25">
      <c r="E13" t="s">
        <v>23</v>
      </c>
      <c r="F13" s="3">
        <v>10</v>
      </c>
    </row>
    <row r="14" spans="2:6" x14ac:dyDescent="0.25">
      <c r="E14" t="s">
        <v>24</v>
      </c>
      <c r="F14" s="3">
        <v>25</v>
      </c>
    </row>
    <row r="15" spans="2:6" x14ac:dyDescent="0.25">
      <c r="E15" t="s">
        <v>20</v>
      </c>
      <c r="F15" s="3">
        <v>15</v>
      </c>
    </row>
    <row r="16" spans="2:6" x14ac:dyDescent="0.25">
      <c r="E16" t="s">
        <v>31</v>
      </c>
      <c r="F16" s="3">
        <v>9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Mesas del Restaurantes</vt:lpstr>
      <vt:lpstr>Mesa 1</vt:lpstr>
      <vt:lpstr>Mesa 2</vt:lpstr>
      <vt:lpstr>Mesa 3 </vt:lpstr>
      <vt:lpstr>Mesa 4</vt:lpstr>
      <vt:lpstr>Base de datos</vt:lpstr>
      <vt:lpstr>'Mesa 1'!Área_de_impresión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Computadora</dc:creator>
  <cp:lastModifiedBy>Manuel</cp:lastModifiedBy>
  <cp:lastPrinted>2024-02-24T22:26:52Z</cp:lastPrinted>
  <dcterms:created xsi:type="dcterms:W3CDTF">2024-02-24T14:48:15Z</dcterms:created>
  <dcterms:modified xsi:type="dcterms:W3CDTF">2024-02-24T22:26:57Z</dcterms:modified>
</cp:coreProperties>
</file>